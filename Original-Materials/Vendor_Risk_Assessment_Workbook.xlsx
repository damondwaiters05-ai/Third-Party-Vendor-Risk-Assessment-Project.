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1 · Vendor Profile" sheetId="2" state="visible" r:id="rId4"/>
    <sheet name="2 · Tiering" sheetId="3" state="visible" r:id="rId5"/>
    <sheet name="3 · Questionnaire" sheetId="4" state="visible" r:id="rId6"/>
    <sheet name="4 · Findings" sheetId="5" state="visible" r:id="rId7"/>
    <sheet name="5 · Risk Matrix" sheetId="6" state="visible" r:id="rId8"/>
    <sheet name="6 · Decis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<sst xmlns="http://schemas.openxmlformats.org/spreadsheetml/2006/main" count="221" uniqueCount="208">
  <si>
    <t xml:space="preserve">Vendor Risk Assessment Workbook</t>
  </si>
  <si>
    <t xml:space="preserve">MyFirstHack Mentorship · Weekly Project 03 · Third-Party Vendor Risk Assessment</t>
  </si>
  <si>
    <t xml:space="preserve">Assess the vendor in the scenario pack by working through the tabs left to right.</t>
  </si>
  <si>
    <t xml:space="preserve">HOW TO USE THIS WORKBOOK</t>
  </si>
  <si>
    <t xml:space="preserve">1 · Vendor Profile:   record what the vendor does, the data they hold, and their subprocessors.</t>
  </si>
  <si>
    <t xml:space="preserve">2 · Tiering:          score inherent risk on four factors; the sheet returns the vendor's tier.</t>
  </si>
  <si>
    <t xml:space="preserve">3 · Questionnaire:    for each control, pick a verdict and note the evidence that led you there.</t>
  </si>
  <si>
    <t xml:space="preserve">4 · Findings:         log every gap, score likelihood x impact; the rating colours itself.</t>
  </si>
  <si>
    <t xml:space="preserve">5 · Risk Matrix:      reference for how scores become Low / Medium / High / Critical.</t>
  </si>
  <si>
    <t xml:space="preserve">6 · Decision:         your overall residual-risk view and recommendation.</t>
  </si>
  <si>
    <t xml:space="preserve">CELLS YOU FILL IN ARE SHADED YELLOW.  Everything else is a heading or a formula, so leave it alone.</t>
  </si>
  <si>
    <t xml:space="preserve">THE FOUR VERDICTS (tab 3)</t>
  </si>
  <si>
    <t xml:space="preserve">Met:            control exists and evidence proves it works.</t>
  </si>
  <si>
    <t xml:space="preserve">Partially met:  control exists but is weak, incomplete, or out of date.</t>
  </si>
  <si>
    <t xml:space="preserve">Not met:        control is absent, or claimed with no evidence at all.</t>
  </si>
  <si>
    <t xml:space="preserve">N/A:            control genuinely does not apply to this vendor.</t>
  </si>
  <si>
    <t xml:space="preserve">THE RULE: a claim with no evidence is 'Not met, unevidenced', not 'Met'.</t>
  </si>
  <si>
    <t xml:space="preserve">RATING COLOURS</t>
  </si>
  <si>
    <t xml:space="preserve">   Critical (15-25)</t>
  </si>
  <si>
    <t xml:space="preserve">   High (10-14)</t>
  </si>
  <si>
    <t xml:space="preserve">   Medium (5-9)</t>
  </si>
  <si>
    <t xml:space="preserve">   Low (1-4)</t>
  </si>
  <si>
    <t xml:space="preserve">1 · Vendor Profile &amp; Scope</t>
  </si>
  <si>
    <t xml:space="preserve">Record the basics from the scenario pack. Yellow cells are yours to complete.</t>
  </si>
  <si>
    <t xml:space="preserve">Assessment reference</t>
  </si>
  <si>
    <t xml:space="preserve">MTB-TPRM-2026-0417</t>
  </si>
  <si>
    <t xml:space="preserve">Vendor name</t>
  </si>
  <si>
    <t xml:space="preserve">Service / product</t>
  </si>
  <si>
    <t xml:space="preserve">Business process it supports</t>
  </si>
  <si>
    <t xml:space="preserve">Data types held</t>
  </si>
  <si>
    <t xml:space="preserve">Approx. records within 12 months</t>
  </si>
  <si>
    <t xml:space="preserve">Is the process critical / important?</t>
  </si>
  <si>
    <t xml:space="preserve">Hosting &amp; region(s)</t>
  </si>
  <si>
    <t xml:space="preserve">Subprocessors (fourth parties)</t>
  </si>
  <si>
    <t xml:space="preserve">Certifications claimed</t>
  </si>
  <si>
    <t xml:space="preserve">Assessor name</t>
  </si>
  <si>
    <t xml:space="preserve">Assessment date</t>
  </si>
  <si>
    <t xml:space="preserve">Example (delete when you fill yours in):</t>
  </si>
  <si>
    <t xml:space="preserve">Vendor name  →  CloudLedger Technologies Ltd</t>
  </si>
  <si>
    <t xml:space="preserve">Data types held  →  Name, address, DOB, income, bank statements, ID documents</t>
  </si>
  <si>
    <t xml:space="preserve">2 · Inherent Risk Tiering</t>
  </si>
  <si>
    <t xml:space="preserve">Score each factor 1 (low) to 5 (high) in the yellow cells. The tier is calculated for you.</t>
  </si>
  <si>
    <t xml:space="preserve">Inherent-risk factor</t>
  </si>
  <si>
    <t xml:space="preserve">Score 1-5</t>
  </si>
  <si>
    <t xml:space="preserve">Weight</t>
  </si>
  <si>
    <t xml:space="preserve">Weighted</t>
  </si>
  <si>
    <t xml:space="preserve">Data sensitivity (PII, financial, special category)</t>
  </si>
  <si>
    <t xml:space="preserve">Operational criticality (how critical / hard to pause)</t>
  </si>
  <si>
    <t xml:space="preserve">Regulatory exposure (GDPR, DORA, sector rules)</t>
  </si>
  <si>
    <t xml:space="preserve">System / network / data access granted</t>
  </si>
  <si>
    <t xml:space="preserve">Weighted inherent-risk score</t>
  </si>
  <si>
    <t xml:space="preserve">VENDOR TIER</t>
  </si>
  <si>
    <t xml:space="preserve">Score &gt;= 4.0 Critical  ·  &gt;= 3.0 High  ·  &gt;= 2.0 Medium  ·  &lt; 2.0 Low</t>
  </si>
  <si>
    <t xml:space="preserve">The tier sets the minimum evidence you require (see the bank's TPRM policy in the pack).</t>
  </si>
  <si>
    <t xml:space="preserve">3 · Due Diligence Questionnaire</t>
  </si>
  <si>
    <t xml:space="preserve">For each control: read the vendor's claim, check the evidence, then fill the yellow Verdict and Assessor note.</t>
  </si>
  <si>
    <t xml:space="preserve">Control</t>
  </si>
  <si>
    <t xml:space="preserve">Vendor claim (summary)</t>
  </si>
  <si>
    <t xml:space="preserve">Evidence ref</t>
  </si>
  <si>
    <t xml:space="preserve">Verdict</t>
  </si>
  <si>
    <t xml:space="preserve">Assessor note</t>
  </si>
  <si>
    <t xml:space="preserve">Section 1 · Governance &amp; policy</t>
  </si>
  <si>
    <t xml:space="preserve">Documented, senior-approved infosec policy</t>
  </si>
  <si>
    <t xml:space="preserve">Yes, policy provided</t>
  </si>
  <si>
    <t xml:space="preserve">D4</t>
  </si>
  <si>
    <t xml:space="preserve">Met</t>
  </si>
  <si>
    <t xml:space="preserve">Example: AES-256 at rest confirmed in Q3.1. Leave verdict cells like this.</t>
  </si>
  <si>
    <t xml:space="preserve">Policy reviewed at least annually</t>
  </si>
  <si>
    <t xml:space="preserve">Yes, annual review</t>
  </si>
  <si>
    <t xml:space="preserve">Named security owner</t>
  </si>
  <si>
    <t xml:space="preserve">No dedicated owner; eng leadership</t>
  </si>
  <si>
    <t xml:space="preserve">Q1.3</t>
  </si>
  <si>
    <t xml:space="preserve">Section 2 · Access control &amp; identity</t>
  </si>
  <si>
    <t xml:space="preserve">MFA on customer application</t>
  </si>
  <si>
    <t xml:space="preserve">Yes</t>
  </si>
  <si>
    <t xml:space="preserve">SOC2 / Q2.1</t>
  </si>
  <si>
    <t xml:space="preserve">MFA on admin console &amp; VPN</t>
  </si>
  <si>
    <t xml:space="preserve">Roadmap; VPN is password-only</t>
  </si>
  <si>
    <t xml:space="preserve">D1 / D3-H2</t>
  </si>
  <si>
    <t xml:space="preserve">Periodic access recertification</t>
  </si>
  <si>
    <t xml:space="preserve">Yes (claimed)</t>
  </si>
  <si>
    <t xml:space="preserve">D1 exceptions</t>
  </si>
  <si>
    <t xml:space="preserve">No shared / generic admin accounts</t>
  </si>
  <si>
    <t xml:space="preserve">Some shared accounts used</t>
  </si>
  <si>
    <t xml:space="preserve">Q2.4</t>
  </si>
  <si>
    <t xml:space="preserve">Section 3 · Data protection &amp; encryption</t>
  </si>
  <si>
    <t xml:space="preserve">Encryption at rest (AES-256)</t>
  </si>
  <si>
    <t xml:space="preserve">Q3.1</t>
  </si>
  <si>
    <t xml:space="preserve">Encryption in transit (TLS 1.2+)</t>
  </si>
  <si>
    <t xml:space="preserve">Yes, customer traffic</t>
  </si>
  <si>
    <t xml:space="preserve">Q3.2 / D3-H1</t>
  </si>
  <si>
    <t xml:space="preserve">PII processed outside UK/EEA controlled</t>
  </si>
  <si>
    <t xml:space="preserve">Offshore support has access</t>
  </si>
  <si>
    <t xml:space="preserve">B / D7</t>
  </si>
  <si>
    <t xml:space="preserve">Approved transfer mechanism (SCCs)</t>
  </si>
  <si>
    <t xml:space="preserve">Referenced, not attached</t>
  </si>
  <si>
    <t xml:space="preserve">D7</t>
  </si>
  <si>
    <t xml:space="preserve">Defined retention schedule</t>
  </si>
  <si>
    <t xml:space="preserve">'As long as necessary'</t>
  </si>
  <si>
    <t xml:space="preserve">Section 4 · Vulnerability &amp; patch mgmt</t>
  </si>
  <si>
    <t xml:space="preserve">Regular vulnerability scanning</t>
  </si>
  <si>
    <t xml:space="preserve">Yes, monthly</t>
  </si>
  <si>
    <t xml:space="preserve">Q4.1</t>
  </si>
  <si>
    <t xml:space="preserve">Annual independent pen test</t>
  </si>
  <si>
    <t xml:space="preserve">Yes (but 14 months old)</t>
  </si>
  <si>
    <t xml:space="preserve">D3</t>
  </si>
  <si>
    <t xml:space="preserve">Pen-test findings remediated in SLA</t>
  </si>
  <si>
    <t xml:space="preserve">2 High findings still open</t>
  </si>
  <si>
    <t xml:space="preserve">Section 5 · Secure development</t>
  </si>
  <si>
    <t xml:space="preserve">Secure SDLC with code review</t>
  </si>
  <si>
    <t xml:space="preserve">Yes, PR review</t>
  </si>
  <si>
    <t xml:space="preserve">Q5.1</t>
  </si>
  <si>
    <t xml:space="preserve">Environments separated</t>
  </si>
  <si>
    <t xml:space="preserve">Q5.2</t>
  </si>
  <si>
    <t xml:space="preserve">Section 6 · Logging, monitoring &amp; IR</t>
  </si>
  <si>
    <t xml:space="preserve">Documented incident response plan</t>
  </si>
  <si>
    <t xml:space="preserve">D5</t>
  </si>
  <si>
    <t xml:space="preserve">Committed breach-notification timeframe</t>
  </si>
  <si>
    <t xml:space="preserve">'Promptly', no SLA</t>
  </si>
  <si>
    <t xml:space="preserve">D5 / D7</t>
  </si>
  <si>
    <t xml:space="preserve">IR plan tested in last 12 months</t>
  </si>
  <si>
    <t xml:space="preserve">No record provided</t>
  </si>
  <si>
    <t xml:space="preserve">Section 7 · Business continuity &amp; DR</t>
  </si>
  <si>
    <t xml:space="preserve">Documented RTO / RPO</t>
  </si>
  <si>
    <t xml:space="preserve">RTO 8h / RPO 4h</t>
  </si>
  <si>
    <t xml:space="preserve">D6</t>
  </si>
  <si>
    <t xml:space="preserve">Multi-region failover</t>
  </si>
  <si>
    <t xml:space="preserve">Single region eu-west-1</t>
  </si>
  <si>
    <t xml:space="preserve">DR test in last 12 months</t>
  </si>
  <si>
    <t xml:space="preserve">Last test Feb 2024</t>
  </si>
  <si>
    <t xml:space="preserve">Section 8 · Fourth-party management</t>
  </si>
  <si>
    <t xml:space="preserve">Subprocessor list maintained</t>
  </si>
  <si>
    <t xml:space="preserve">B</t>
  </si>
  <si>
    <t xml:space="preserve">Security obligations flowed down &amp; assessed</t>
  </si>
  <si>
    <t xml:space="preserve">Not evidenced for offshore</t>
  </si>
  <si>
    <t xml:space="preserve">Q8.2</t>
  </si>
  <si>
    <t xml:space="preserve">Section 9 · Compliance &amp; assurance</t>
  </si>
  <si>
    <t xml:space="preserve">Current SOC 2 (type &amp; scope adequate)</t>
  </si>
  <si>
    <t xml:space="preserve">Type II, Security only, stale</t>
  </si>
  <si>
    <t xml:space="preserve">D1</t>
  </si>
  <si>
    <t xml:space="preserve">Current ISO 27001 (scope adequate)</t>
  </si>
  <si>
    <t xml:space="preserve">Excludes offshore; expires soon</t>
  </si>
  <si>
    <t xml:space="preserve">D2</t>
  </si>
  <si>
    <t xml:space="preserve">Right to audit granted</t>
  </si>
  <si>
    <t xml:space="preserve">No, SOC 2 offered instead</t>
  </si>
  <si>
    <t xml:space="preserve">Section 10 · Physical &amp; personnel security</t>
  </si>
  <si>
    <t xml:space="preserve">Screening of staff with data access</t>
  </si>
  <si>
    <t xml:space="preserve">UK staff yes</t>
  </si>
  <si>
    <t xml:space="preserve">Q10.1</t>
  </si>
  <si>
    <t xml:space="preserve">Screening extends to offshore prod access</t>
  </si>
  <si>
    <t xml:space="preserve">Via partner HR; not evidenced</t>
  </si>
  <si>
    <t xml:space="preserve">Q10.2</t>
  </si>
  <si>
    <t xml:space="preserve">Verdict summary</t>
  </si>
  <si>
    <t xml:space="preserve">Partially met</t>
  </si>
  <si>
    <t xml:space="preserve">Not met</t>
  </si>
  <si>
    <t xml:space="preserve">N/A</t>
  </si>
  <si>
    <t xml:space="preserve">4 · Findings Register</t>
  </si>
  <si>
    <t xml:space="preserve">Add one row per gap. Enter Likelihood and Impact (1-5). Score and Rating fill in and colour automatically.</t>
  </si>
  <si>
    <t xml:space="preserve">ID</t>
  </si>
  <si>
    <t xml:space="preserve">Domain</t>
  </si>
  <si>
    <t xml:space="preserve">Finding</t>
  </si>
  <si>
    <t xml:space="preserve">Owner</t>
  </si>
  <si>
    <t xml:space="preserve">Likelihood
1-5</t>
  </si>
  <si>
    <t xml:space="preserve">Impact
1-5</t>
  </si>
  <si>
    <t xml:space="preserve">Score</t>
  </si>
  <si>
    <t xml:space="preserve">Rating</t>
  </si>
  <si>
    <t xml:space="preserve">Recommendation</t>
  </si>
  <si>
    <t xml:space="preserve">Due date</t>
  </si>
  <si>
    <t xml:space="preserve">Status</t>
  </si>
  <si>
    <t xml:space="preserve">F1</t>
  </si>
  <si>
    <t xml:space="preserve">BC / DR (Section 7)</t>
  </si>
  <si>
    <t xml:space="preserve">No evidenced DR/failover test in &gt;12 months; single AWS region, no cross-region failover.</t>
  </si>
  <si>
    <t xml:space="preserve">Vendor</t>
  </si>
  <si>
    <t xml:space="preserve">Configure cross-region failover; run and evidence a full DR test.</t>
  </si>
  <si>
    <t xml:space="preserve">30 days</t>
  </si>
  <si>
    <t xml:space="preserve">Open</t>
  </si>
  <si>
    <t xml:space="preserve">5 · Risk Rating Matrix (Likelihood x Impact)</t>
  </si>
  <si>
    <t xml:space="preserve">Impact ↓ / Likelihood →</t>
  </si>
  <si>
    <t xml:space="preserve">1 Rare</t>
  </si>
  <si>
    <t xml:space="preserve">2 Unlikely</t>
  </si>
  <si>
    <t xml:space="preserve">3 Possible</t>
  </si>
  <si>
    <t xml:space="preserve">4 Likely</t>
  </si>
  <si>
    <t xml:space="preserve">5 Almost certain</t>
  </si>
  <si>
    <t xml:space="preserve">5 Severe</t>
  </si>
  <si>
    <t xml:space="preserve">4 Major</t>
  </si>
  <si>
    <t xml:space="preserve">3 Moderate</t>
  </si>
  <si>
    <t xml:space="preserve">2 Minor</t>
  </si>
  <si>
    <t xml:space="preserve">1 Negligible</t>
  </si>
  <si>
    <t xml:space="preserve">Rating bands</t>
  </si>
  <si>
    <t xml:space="preserve">   Low  (1-4)</t>
  </si>
  <si>
    <t xml:space="preserve">   Medium  (5-9)</t>
  </si>
  <si>
    <t xml:space="preserve">   High  (10-14)</t>
  </si>
  <si>
    <t xml:space="preserve">   Critical  (15-25)</t>
  </si>
  <si>
    <t xml:space="preserve">6 · Assessment Decision</t>
  </si>
  <si>
    <t xml:space="preserve">Pull it together. Findings counts fill in automatically; yellow cells are your judgement.</t>
  </si>
  <si>
    <t xml:space="preserve">Vendor tier</t>
  </si>
  <si>
    <t xml:space="preserve">Critical findings</t>
  </si>
  <si>
    <t xml:space="preserve">High findings</t>
  </si>
  <si>
    <t xml:space="preserve">Medium findings</t>
  </si>
  <si>
    <t xml:space="preserve">Low findings</t>
  </si>
  <si>
    <t xml:space="preserve">Overall residual risk (your view)</t>
  </si>
  <si>
    <t xml:space="preserve">Within the bank's risk appetite?</t>
  </si>
  <si>
    <t xml:space="preserve">Conditions / remediation deadline</t>
  </si>
  <si>
    <t xml:space="preserve">Accountable risk owner</t>
  </si>
  <si>
    <t xml:space="preserve">Decision date</t>
  </si>
  <si>
    <t xml:space="preserve">Reminder</t>
  </si>
  <si>
    <t xml:space="preserve">Meridian will not accept any open Critical finding on a critical-function vendor.</t>
  </si>
  <si>
    <t xml:space="preserve">The assessor recommends; the accountable risk owner decides.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</si>
</sst>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0"/>
    <numFmt numFmtId="167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3"/>
      <color rgb="FF1C2230"/>
      <name val="Arial"/>
      <family val="0"/>
      <charset val="1"/>
    </font>
    <font>
      <b val="true"/>
      <sz val="10"/>
      <color rgb="FF12305A"/>
      <name val="Arial"/>
      <family val="0"/>
      <charset val="1"/>
    </font>
    <font>
      <sz val="10"/>
      <color rgb="FF1C2230"/>
      <name val="Arial"/>
      <family val="0"/>
      <charset val="1"/>
    </font>
    <font>
      <sz val="4"/>
      <color rgb="FF1C2230"/>
      <name val="Arial"/>
      <family val="0"/>
      <charset val="1"/>
    </font>
    <font>
      <b val="true"/>
      <sz val="11"/>
      <color rgb="FF232A3B"/>
      <name val="Arial"/>
      <family val="0"/>
      <charset val="1"/>
    </font>
    <font>
      <b val="true"/>
      <sz val="10"/>
      <color rgb="FFB7791F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.5"/>
      <color rgb="FF697089"/>
      <name val="Arial"/>
      <family val="0"/>
      <charset val="1"/>
    </font>
    <font>
      <b val="true"/>
      <sz val="10"/>
      <color rgb="FF1C2230"/>
      <name val="Arial"/>
      <family val="0"/>
      <charset val="1"/>
    </font>
    <font>
      <i val="true"/>
      <sz val="9"/>
      <color rgb="FF697089"/>
      <name val="Arial"/>
      <family val="0"/>
      <charset val="1"/>
    </font>
    <font>
      <sz val="9"/>
      <color rgb="FF697089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11"/>
      <color rgb="FF1C223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.5"/>
      <color rgb="FF1C2230"/>
      <name val="Arial"/>
      <family val="0"/>
      <charset val="1"/>
    </font>
    <font>
      <b val="true"/>
      <sz val="10"/>
      <color rgb="FF232A3B"/>
      <name val="Arial"/>
      <family val="0"/>
      <charset val="1"/>
    </font>
    <font>
      <b val="true"/>
      <sz val="9.5"/>
      <color rgb="FF1C223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.5"/>
      <color rgb="FF69708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2305A"/>
        <bgColor rgb="FF232A3B"/>
      </patternFill>
    </fill>
    <fill>
      <patternFill patternType="solid">
        <fgColor rgb="FFA01F1F"/>
        <bgColor rgb="FFC0392B"/>
      </patternFill>
    </fill>
    <fill>
      <patternFill patternType="solid">
        <fgColor rgb="FFC0392B"/>
        <bgColor rgb="FFA01F1F"/>
      </patternFill>
    </fill>
    <fill>
      <patternFill patternType="solid">
        <fgColor rgb="FFC98A12"/>
        <bgColor rgb="FFB7791F"/>
      </patternFill>
    </fill>
    <fill>
      <patternFill patternType="solid">
        <fgColor rgb="FF1A7F4B"/>
        <bgColor rgb="FF008080"/>
      </patternFill>
    </fill>
    <fill>
      <patternFill patternType="solid">
        <fgColor rgb="FFEEF1F7"/>
        <bgColor rgb="FFEEF4FF"/>
      </patternFill>
    </fill>
    <fill>
      <patternFill patternType="solid">
        <fgColor rgb="FFFFF7D6"/>
        <bgColor rgb="FFFFFFFF"/>
      </patternFill>
    </fill>
    <fill>
      <patternFill patternType="solid">
        <fgColor rgb="FF232A3B"/>
        <bgColor rgb="FF1C2230"/>
      </patternFill>
    </fill>
    <fill>
      <patternFill patternType="solid">
        <fgColor rgb="FFEEF4FF"/>
        <bgColor rgb="FFEEF1F7"/>
      </patternFill>
    </fill>
    <fill>
      <patternFill patternType="solid">
        <fgColor rgb="FF697089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9E3"/>
      </left>
      <right style="thin">
        <color rgb="FFD5D9E3"/>
      </right>
      <top style="thin">
        <color rgb="FFD5D9E3"/>
      </top>
      <bottom style="thin">
        <color rgb="FFD5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2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2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FFFFFF"/>
        <sz val="12"/>
      </font>
      <fill>
        <patternFill>
          <bgColor rgb="FFA01F1F"/>
        </patternFill>
      </fill>
    </dxf>
    <dxf>
      <font>
        <name val="Arial"/>
        <charset val="1"/>
        <family val="0"/>
        <b val="1"/>
        <color rgb="FFFFFFFF"/>
        <sz val="12"/>
      </font>
      <fill>
        <patternFill>
          <bgColor rgb="FFC0392B"/>
        </patternFill>
      </fill>
    </dxf>
    <dxf>
      <font>
        <name val="Arial"/>
        <charset val="1"/>
        <family val="0"/>
        <b val="1"/>
        <color rgb="FFFFFFFF"/>
        <sz val="12"/>
      </font>
      <fill>
        <patternFill>
          <bgColor rgb="FFC98A12"/>
        </patternFill>
      </fill>
    </dxf>
    <dxf>
      <font>
        <name val="Arial"/>
        <charset val="1"/>
        <family val="0"/>
        <b val="1"/>
        <color rgb="FFFFFFFF"/>
        <sz val="12"/>
      </font>
      <fill>
        <patternFill>
          <bgColor rgb="FF1A7F4B"/>
        </patternFill>
      </fill>
    </dxf>
    <dxf>
      <font>
        <name val="Arial"/>
        <charset val="1"/>
        <family val="0"/>
        <b val="1"/>
        <color rgb="FFFFFFFF"/>
        <sz val="9"/>
      </font>
      <fill>
        <patternFill>
          <bgColor rgb="FFA01F1F"/>
        </patternFill>
      </fill>
    </dxf>
    <dxf>
      <font>
        <name val="Arial"/>
        <charset val="1"/>
        <family val="0"/>
        <b val="1"/>
        <color rgb="FFFFFFFF"/>
        <sz val="9"/>
      </font>
      <fill>
        <patternFill>
          <bgColor rgb="FFC0392B"/>
        </patternFill>
      </fill>
    </dxf>
    <dxf>
      <font>
        <name val="Arial"/>
        <charset val="1"/>
        <family val="0"/>
        <b val="1"/>
        <color rgb="FFFFFFFF"/>
        <sz val="9"/>
      </font>
      <fill>
        <patternFill>
          <bgColor rgb="FFC98A12"/>
        </patternFill>
      </fill>
    </dxf>
    <dxf>
      <font>
        <name val="Arial"/>
        <charset val="1"/>
        <family val="0"/>
        <b val="1"/>
        <color rgb="FFFFFFFF"/>
        <sz val="9"/>
      </font>
      <fill>
        <patternFill>
          <bgColor rgb="FF1A7F4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1A7F4B"/>
      <rgbColor rgb="FFC0C0C0"/>
      <rgbColor rgb="FF808080"/>
      <rgbColor rgb="FF9999FF"/>
      <rgbColor rgb="FFC0392B"/>
      <rgbColor rgb="FFFFF7D6"/>
      <rgbColor rgb="FFEEF4FF"/>
      <rgbColor rgb="FF660066"/>
      <rgbColor rgb="FFFF8080"/>
      <rgbColor rgb="FF0066CC"/>
      <rgbColor rgb="FFD5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8A12"/>
      <rgbColor rgb="FFFF6600"/>
      <rgbColor rgb="FF697089"/>
      <rgbColor rgb="FF969696"/>
      <rgbColor rgb="FF12305A"/>
      <rgbColor rgb="FF339966"/>
      <rgbColor rgb="FF003300"/>
      <rgbColor rgb="FF1C2230"/>
      <rgbColor rgb="FFA01F1F"/>
      <rgbColor rgb="FF993366"/>
      <rgbColor rgb="FF333399"/>
      <rgbColor rgb="FF232A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6"/>
  </cols>
  <sheetData>
    <row r="2" customFormat="false" ht="30" hidden="false" customHeight="true" outlineLevel="0" collapsed="false">
      <c r="A2" s="1" t="s">
        <v>0</v>
      </c>
      <c r="B2" s="1"/>
      <c r="C2" s="1"/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1</v>
      </c>
    </row>
    <row r="5" customFormat="false" ht="15" hidden="false" customHeight="false" outlineLevel="0" collapsed="false">
      <c r="B5" s="4" t="s">
        <v>2</v>
      </c>
    </row>
    <row r="6" customFormat="false" ht="15" hidden="false" customHeight="false" outlineLevel="0" collapsed="false">
      <c r="B6" s="5"/>
    </row>
    <row r="7" customFormat="false" ht="15" hidden="false" customHeight="false" outlineLevel="0" collapsed="false">
      <c r="B7" s="6" t="s">
        <v>3</v>
      </c>
    </row>
    <row r="8" customFormat="false" ht="15" hidden="false" customHeight="false" outlineLevel="0" collapsed="false">
      <c r="B8" s="4" t="s">
        <v>4</v>
      </c>
    </row>
    <row r="9" customFormat="false" ht="15" hidden="false" customHeight="false" outlineLevel="0" collapsed="false">
      <c r="B9" s="4" t="s">
        <v>5</v>
      </c>
    </row>
    <row r="10" customFormat="false" ht="15" hidden="false" customHeight="false" outlineLevel="0" collapsed="false">
      <c r="B10" s="4" t="s">
        <v>6</v>
      </c>
    </row>
    <row r="11" customFormat="false" ht="15" hidden="false" customHeight="false" outlineLevel="0" collapsed="false">
      <c r="B11" s="4" t="s">
        <v>7</v>
      </c>
    </row>
    <row r="12" customFormat="false" ht="1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4" t="s">
        <v>9</v>
      </c>
    </row>
    <row r="14" customFormat="false" ht="15" hidden="false" customHeight="false" outlineLevel="0" collapsed="false">
      <c r="B14" s="5"/>
    </row>
    <row r="15" customFormat="false" ht="15" hidden="false" customHeight="false" outlineLevel="0" collapsed="false">
      <c r="B15" s="7" t="s">
        <v>10</v>
      </c>
    </row>
    <row r="16" customFormat="false" ht="15" hidden="false" customHeight="false" outlineLevel="0" collapsed="false">
      <c r="B16" s="5"/>
    </row>
    <row r="17" customFormat="false" ht="15" hidden="false" customHeight="false" outlineLevel="0" collapsed="false">
      <c r="B17" s="6" t="s">
        <v>11</v>
      </c>
    </row>
    <row r="18" customFormat="false" ht="15" hidden="false" customHeight="false" outlineLevel="0" collapsed="false">
      <c r="B18" s="4" t="s">
        <v>12</v>
      </c>
    </row>
    <row r="19" customFormat="false" ht="15" hidden="false" customHeight="false" outlineLevel="0" collapsed="false">
      <c r="B19" s="4" t="s">
        <v>13</v>
      </c>
    </row>
    <row r="20" customFormat="false" ht="15" hidden="false" customHeight="false" outlineLevel="0" collapsed="false">
      <c r="B20" s="4" t="s">
        <v>14</v>
      </c>
    </row>
    <row r="21" customFormat="false" ht="15" hidden="false" customHeight="false" outlineLevel="0" collapsed="false">
      <c r="B21" s="4" t="s">
        <v>15</v>
      </c>
    </row>
    <row r="22" customFormat="false" ht="15" hidden="false" customHeight="false" outlineLevel="0" collapsed="false">
      <c r="B22" s="5"/>
    </row>
    <row r="23" customFormat="false" ht="15" hidden="false" customHeight="false" outlineLevel="0" collapsed="false">
      <c r="B23" s="8" t="s">
        <v>16</v>
      </c>
    </row>
    <row r="25" customFormat="false" ht="15" hidden="false" customHeight="false" outlineLevel="0" collapsed="false">
      <c r="B25" s="6" t="s">
        <v>17</v>
      </c>
    </row>
    <row r="26" customFormat="false" ht="19.5" hidden="false" customHeight="true" outlineLevel="0" collapsed="false">
      <c r="B26" s="9" t="s">
        <v>18</v>
      </c>
    </row>
    <row r="27" customFormat="false" ht="19.5" hidden="false" customHeight="true" outlineLevel="0" collapsed="false">
      <c r="B27" s="10" t="s">
        <v>19</v>
      </c>
    </row>
    <row r="28" customFormat="false" ht="19.5" hidden="false" customHeight="true" outlineLevel="0" collapsed="false">
      <c r="B28" s="11" t="s">
        <v>20</v>
      </c>
    </row>
    <row r="29" customFormat="false" ht="19.5" hidden="false" customHeight="true" outlineLevel="0" collapsed="false">
      <c r="B29" s="12" t="s">
        <v>21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66"/>
  </cols>
  <sheetData>
    <row r="2" customFormat="false" ht="30" hidden="false" customHeight="true" outlineLevel="0" collapsed="false">
      <c r="A2" s="13" t="s">
        <v>22</v>
      </c>
      <c r="B2" s="13"/>
      <c r="C2" s="13"/>
      <c r="D2" s="13"/>
    </row>
    <row r="3" customFormat="false" ht="23.85" hidden="false" customHeight="false" outlineLevel="0" collapsed="false">
      <c r="B3" s="14" t="s">
        <v>23</v>
      </c>
    </row>
    <row r="5" customFormat="false" ht="25.5" hidden="false" customHeight="true" outlineLevel="0" collapsed="false">
      <c r="B5" s="15" t="s">
        <v>24</v>
      </c>
      <c r="C5" s="16" t="s">
        <v>25</v>
      </c>
    </row>
    <row r="6" customFormat="false" ht="25.5" hidden="false" customHeight="true" outlineLevel="0" collapsed="false">
      <c r="B6" s="15" t="s">
        <v>26</v>
      </c>
      <c r="C6" s="16"/>
    </row>
    <row r="7" customFormat="false" ht="25.5" hidden="false" customHeight="true" outlineLevel="0" collapsed="false">
      <c r="B7" s="15" t="s">
        <v>27</v>
      </c>
      <c r="C7" s="16"/>
    </row>
    <row r="8" customFormat="false" ht="25.5" hidden="false" customHeight="true" outlineLevel="0" collapsed="false">
      <c r="B8" s="15" t="s">
        <v>28</v>
      </c>
      <c r="C8" s="16"/>
    </row>
    <row r="9" customFormat="false" ht="25.5" hidden="false" customHeight="true" outlineLevel="0" collapsed="false">
      <c r="B9" s="15" t="s">
        <v>29</v>
      </c>
      <c r="C9" s="16"/>
    </row>
    <row r="10" customFormat="false" ht="25.5" hidden="false" customHeight="true" outlineLevel="0" collapsed="false">
      <c r="B10" s="15" t="s">
        <v>30</v>
      </c>
      <c r="C10" s="16"/>
    </row>
    <row r="11" customFormat="false" ht="25.5" hidden="false" customHeight="true" outlineLevel="0" collapsed="false">
      <c r="B11" s="15" t="s">
        <v>31</v>
      </c>
      <c r="C11" s="16"/>
    </row>
    <row r="12" customFormat="false" ht="25.5" hidden="false" customHeight="true" outlineLevel="0" collapsed="false">
      <c r="B12" s="15" t="s">
        <v>32</v>
      </c>
      <c r="C12" s="16"/>
    </row>
    <row r="13" customFormat="false" ht="25.5" hidden="false" customHeight="true" outlineLevel="0" collapsed="false">
      <c r="B13" s="15" t="s">
        <v>33</v>
      </c>
      <c r="C13" s="16"/>
    </row>
    <row r="14" customFormat="false" ht="25.5" hidden="false" customHeight="true" outlineLevel="0" collapsed="false">
      <c r="B14" s="15" t="s">
        <v>34</v>
      </c>
      <c r="C14" s="16"/>
    </row>
    <row r="15" customFormat="false" ht="25.5" hidden="false" customHeight="true" outlineLevel="0" collapsed="false">
      <c r="B15" s="15" t="s">
        <v>35</v>
      </c>
      <c r="C15" s="16"/>
    </row>
    <row r="16" customFormat="false" ht="25.5" hidden="false" customHeight="true" outlineLevel="0" collapsed="false">
      <c r="B16" s="15" t="s">
        <v>36</v>
      </c>
      <c r="C16" s="16"/>
    </row>
    <row r="18" customFormat="false" ht="15" hidden="false" customHeight="false" outlineLevel="0" collapsed="false">
      <c r="B18" s="17" t="s">
        <v>37</v>
      </c>
    </row>
    <row r="19" customFormat="false" ht="22.35" hidden="false" customHeight="false" outlineLevel="0" collapsed="false">
      <c r="B19" s="18" t="s">
        <v>38</v>
      </c>
    </row>
    <row r="20" customFormat="false" ht="22.35" hidden="false" customHeight="false" outlineLevel="0" collapsed="false">
      <c r="B20" s="18" t="s">
        <v>39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4" min="3" style="0" width="12"/>
    <col collapsed="false" customWidth="true" hidden="false" outlineLevel="0" max="5" min="5" style="0" width="16"/>
  </cols>
  <sheetData>
    <row r="2" customFormat="false" ht="30" hidden="false" customHeight="true" outlineLevel="0" collapsed="false">
      <c r="A2" s="13" t="s">
        <v>40</v>
      </c>
      <c r="B2" s="13"/>
      <c r="C2" s="13"/>
      <c r="D2" s="13"/>
      <c r="E2" s="13"/>
    </row>
    <row r="3" customFormat="false" ht="23.85" hidden="false" customHeight="false" outlineLevel="0" collapsed="false">
      <c r="B3" s="14" t="s">
        <v>41</v>
      </c>
    </row>
    <row r="5" customFormat="false" ht="15" hidden="false" customHeight="false" outlineLevel="0" collapsed="false">
      <c r="B5" s="19" t="s">
        <v>42</v>
      </c>
      <c r="C5" s="19" t="s">
        <v>43</v>
      </c>
      <c r="D5" s="19" t="s">
        <v>44</v>
      </c>
      <c r="E5" s="19" t="s">
        <v>45</v>
      </c>
    </row>
    <row r="6" customFormat="false" ht="15" hidden="false" customHeight="false" outlineLevel="0" collapsed="false">
      <c r="B6" s="20" t="s">
        <v>46</v>
      </c>
      <c r="C6" s="21" t="n">
        <v>5</v>
      </c>
      <c r="D6" s="22" t="n">
        <v>0.35</v>
      </c>
      <c r="E6" s="23" t="n">
        <f aca="false">C6*D6</f>
        <v>1.75</v>
      </c>
    </row>
    <row r="7" customFormat="false" ht="23.85" hidden="false" customHeight="false" outlineLevel="0" collapsed="false">
      <c r="B7" s="20" t="s">
        <v>47</v>
      </c>
      <c r="C7" s="21" t="n">
        <v>5</v>
      </c>
      <c r="D7" s="22" t="n">
        <v>0.3</v>
      </c>
      <c r="E7" s="23" t="n">
        <f aca="false">C7*D7</f>
        <v>1.5</v>
      </c>
    </row>
    <row r="8" customFormat="false" ht="23.85" hidden="false" customHeight="false" outlineLevel="0" collapsed="false">
      <c r="B8" s="20" t="s">
        <v>48</v>
      </c>
      <c r="C8" s="21" t="n">
        <v>5</v>
      </c>
      <c r="D8" s="22" t="n">
        <v>0.2</v>
      </c>
      <c r="E8" s="23" t="n">
        <f aca="false">C8*D8</f>
        <v>1</v>
      </c>
    </row>
    <row r="9" customFormat="false" ht="15" hidden="false" customHeight="false" outlineLevel="0" collapsed="false">
      <c r="B9" s="20" t="s">
        <v>49</v>
      </c>
      <c r="C9" s="21" t="n">
        <v>4</v>
      </c>
      <c r="D9" s="22" t="n">
        <v>0.15</v>
      </c>
      <c r="E9" s="23" t="n">
        <f aca="false">C9*D9</f>
        <v>0.6</v>
      </c>
    </row>
    <row r="10" customFormat="false" ht="15" hidden="false" customHeight="false" outlineLevel="0" collapsed="false">
      <c r="B10" s="15" t="s">
        <v>50</v>
      </c>
      <c r="C10" s="24"/>
      <c r="D10" s="25" t="n">
        <f aca="false">SUM(D6:D9)</f>
        <v>1</v>
      </c>
      <c r="E10" s="26" t="n">
        <f aca="false">SUM(E6:E9)</f>
        <v>4.85</v>
      </c>
    </row>
    <row r="12" customFormat="false" ht="27.75" hidden="false" customHeight="true" outlineLevel="0" collapsed="false">
      <c r="B12" s="6" t="s">
        <v>51</v>
      </c>
      <c r="C12" s="27" t="str">
        <f aca="false">IF(E10&gt;=4,"CRITICAL",IF(E10&gt;=3,"HIGH",IF(E10&gt;=2,"MEDIUM","LOW")))</f>
        <v>CRITICAL</v>
      </c>
      <c r="D12" s="27"/>
      <c r="E12" s="27"/>
    </row>
    <row r="14" customFormat="false" ht="22.35" hidden="false" customHeight="false" outlineLevel="0" collapsed="false">
      <c r="B14" s="17" t="s">
        <v>52</v>
      </c>
    </row>
    <row r="15" customFormat="false" ht="22.35" hidden="false" customHeight="false" outlineLevel="0" collapsed="false">
      <c r="B15" s="17" t="s">
        <v>53</v>
      </c>
    </row>
  </sheetData>
  <mergeCells count="2">
    <mergeCell ref="A2:E2"/>
    <mergeCell ref="C12:E12"/>
  </mergeCells>
  <conditionalFormatting sqref="C12:E12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5" min="4" style="0" width="16"/>
    <col collapsed="false" customWidth="true" hidden="false" outlineLevel="0" max="6" min="6" style="0" width="34"/>
  </cols>
  <sheetData>
    <row r="2" customFormat="false" ht="30" hidden="false" customHeight="true" outlineLevel="0" collapsed="false">
      <c r="A2" s="13" t="s">
        <v>54</v>
      </c>
      <c r="B2" s="13"/>
      <c r="C2" s="13"/>
      <c r="D2" s="13"/>
      <c r="E2" s="13"/>
      <c r="F2" s="13"/>
    </row>
    <row r="3" customFormat="false" ht="35.05" hidden="false" customHeight="false" outlineLevel="0" collapsed="false">
      <c r="B3" s="14" t="s">
        <v>55</v>
      </c>
    </row>
    <row r="5" customFormat="false" ht="15" hidden="false" customHeight="false" outlineLevel="0" collapsed="false">
      <c r="B5" s="19" t="s">
        <v>56</v>
      </c>
      <c r="C5" s="19" t="s">
        <v>57</v>
      </c>
      <c r="D5" s="19" t="s">
        <v>58</v>
      </c>
      <c r="E5" s="19" t="s">
        <v>59</v>
      </c>
      <c r="F5" s="19" t="s">
        <v>60</v>
      </c>
    </row>
    <row r="6" customFormat="false" ht="19.5" hidden="false" customHeight="true" outlineLevel="0" collapsed="false">
      <c r="B6" s="28" t="s">
        <v>61</v>
      </c>
      <c r="C6" s="28"/>
      <c r="D6" s="28"/>
      <c r="E6" s="28"/>
      <c r="F6" s="28"/>
    </row>
    <row r="7" customFormat="false" ht="24" hidden="false" customHeight="true" outlineLevel="0" collapsed="false">
      <c r="B7" s="20" t="s">
        <v>62</v>
      </c>
      <c r="C7" s="29" t="s">
        <v>63</v>
      </c>
      <c r="D7" s="30" t="s">
        <v>64</v>
      </c>
      <c r="E7" s="31" t="s">
        <v>65</v>
      </c>
      <c r="F7" s="32" t="s">
        <v>66</v>
      </c>
    </row>
    <row r="8" customFormat="false" ht="24" hidden="false" customHeight="true" outlineLevel="0" collapsed="false">
      <c r="B8" s="20" t="s">
        <v>67</v>
      </c>
      <c r="C8" s="29" t="s">
        <v>68</v>
      </c>
      <c r="D8" s="30" t="s">
        <v>64</v>
      </c>
      <c r="E8" s="31"/>
      <c r="F8" s="32"/>
    </row>
    <row r="9" customFormat="false" ht="24" hidden="false" customHeight="true" outlineLevel="0" collapsed="false">
      <c r="B9" s="20" t="s">
        <v>69</v>
      </c>
      <c r="C9" s="29" t="s">
        <v>70</v>
      </c>
      <c r="D9" s="30" t="s">
        <v>71</v>
      </c>
      <c r="E9" s="31"/>
      <c r="F9" s="32"/>
    </row>
    <row r="10" customFormat="false" ht="19.5" hidden="false" customHeight="true" outlineLevel="0" collapsed="false">
      <c r="B10" s="28" t="s">
        <v>72</v>
      </c>
      <c r="C10" s="28"/>
      <c r="D10" s="28"/>
      <c r="E10" s="28"/>
      <c r="F10" s="28"/>
    </row>
    <row r="11" customFormat="false" ht="24" hidden="false" customHeight="true" outlineLevel="0" collapsed="false">
      <c r="B11" s="20" t="s">
        <v>73</v>
      </c>
      <c r="C11" s="29" t="s">
        <v>74</v>
      </c>
      <c r="D11" s="30" t="s">
        <v>75</v>
      </c>
      <c r="E11" s="31"/>
      <c r="F11" s="32"/>
    </row>
    <row r="12" customFormat="false" ht="24" hidden="false" customHeight="true" outlineLevel="0" collapsed="false">
      <c r="B12" s="20" t="s">
        <v>76</v>
      </c>
      <c r="C12" s="29" t="s">
        <v>77</v>
      </c>
      <c r="D12" s="30" t="s">
        <v>78</v>
      </c>
      <c r="E12" s="31"/>
      <c r="F12" s="32"/>
    </row>
    <row r="13" customFormat="false" ht="24" hidden="false" customHeight="true" outlineLevel="0" collapsed="false">
      <c r="B13" s="20" t="s">
        <v>79</v>
      </c>
      <c r="C13" s="29" t="s">
        <v>80</v>
      </c>
      <c r="D13" s="30" t="s">
        <v>81</v>
      </c>
      <c r="E13" s="31"/>
      <c r="F13" s="32"/>
    </row>
    <row r="14" customFormat="false" ht="24" hidden="false" customHeight="true" outlineLevel="0" collapsed="false">
      <c r="B14" s="20" t="s">
        <v>82</v>
      </c>
      <c r="C14" s="29" t="s">
        <v>83</v>
      </c>
      <c r="D14" s="30" t="s">
        <v>84</v>
      </c>
      <c r="E14" s="31"/>
      <c r="F14" s="32"/>
    </row>
    <row r="15" customFormat="false" ht="19.5" hidden="false" customHeight="true" outlineLevel="0" collapsed="false">
      <c r="B15" s="28" t="s">
        <v>85</v>
      </c>
      <c r="C15" s="28"/>
      <c r="D15" s="28"/>
      <c r="E15" s="28"/>
      <c r="F15" s="28"/>
    </row>
    <row r="16" customFormat="false" ht="24" hidden="false" customHeight="true" outlineLevel="0" collapsed="false">
      <c r="B16" s="20" t="s">
        <v>86</v>
      </c>
      <c r="C16" s="29" t="s">
        <v>74</v>
      </c>
      <c r="D16" s="30" t="s">
        <v>87</v>
      </c>
      <c r="E16" s="31"/>
      <c r="F16" s="32"/>
    </row>
    <row r="17" customFormat="false" ht="24" hidden="false" customHeight="true" outlineLevel="0" collapsed="false">
      <c r="B17" s="20" t="s">
        <v>88</v>
      </c>
      <c r="C17" s="29" t="s">
        <v>89</v>
      </c>
      <c r="D17" s="30" t="s">
        <v>90</v>
      </c>
      <c r="E17" s="31"/>
      <c r="F17" s="32"/>
    </row>
    <row r="18" customFormat="false" ht="24" hidden="false" customHeight="true" outlineLevel="0" collapsed="false">
      <c r="B18" s="20" t="s">
        <v>91</v>
      </c>
      <c r="C18" s="29" t="s">
        <v>92</v>
      </c>
      <c r="D18" s="30" t="s">
        <v>93</v>
      </c>
      <c r="E18" s="31"/>
      <c r="F18" s="32"/>
    </row>
    <row r="19" customFormat="false" ht="24" hidden="false" customHeight="true" outlineLevel="0" collapsed="false">
      <c r="B19" s="20" t="s">
        <v>94</v>
      </c>
      <c r="C19" s="29" t="s">
        <v>95</v>
      </c>
      <c r="D19" s="30" t="s">
        <v>96</v>
      </c>
      <c r="E19" s="31"/>
      <c r="F19" s="32"/>
    </row>
    <row r="20" customFormat="false" ht="24" hidden="false" customHeight="true" outlineLevel="0" collapsed="false">
      <c r="B20" s="20" t="s">
        <v>97</v>
      </c>
      <c r="C20" s="29" t="s">
        <v>98</v>
      </c>
      <c r="D20" s="30" t="s">
        <v>96</v>
      </c>
      <c r="E20" s="31"/>
      <c r="F20" s="32"/>
    </row>
    <row r="21" customFormat="false" ht="19.5" hidden="false" customHeight="true" outlineLevel="0" collapsed="false">
      <c r="B21" s="28" t="s">
        <v>99</v>
      </c>
      <c r="C21" s="28"/>
      <c r="D21" s="28"/>
      <c r="E21" s="28"/>
      <c r="F21" s="28"/>
    </row>
    <row r="22" customFormat="false" ht="24" hidden="false" customHeight="true" outlineLevel="0" collapsed="false">
      <c r="B22" s="20" t="s">
        <v>100</v>
      </c>
      <c r="C22" s="29" t="s">
        <v>101</v>
      </c>
      <c r="D22" s="30" t="s">
        <v>102</v>
      </c>
      <c r="E22" s="31"/>
      <c r="F22" s="32"/>
    </row>
    <row r="23" customFormat="false" ht="24" hidden="false" customHeight="true" outlineLevel="0" collapsed="false">
      <c r="B23" s="20" t="s">
        <v>103</v>
      </c>
      <c r="C23" s="29" t="s">
        <v>104</v>
      </c>
      <c r="D23" s="30" t="s">
        <v>105</v>
      </c>
      <c r="E23" s="31"/>
      <c r="F23" s="32"/>
    </row>
    <row r="24" customFormat="false" ht="24" hidden="false" customHeight="true" outlineLevel="0" collapsed="false">
      <c r="B24" s="20" t="s">
        <v>106</v>
      </c>
      <c r="C24" s="29" t="s">
        <v>107</v>
      </c>
      <c r="D24" s="30" t="s">
        <v>105</v>
      </c>
      <c r="E24" s="31"/>
      <c r="F24" s="32"/>
    </row>
    <row r="25" customFormat="false" ht="19.5" hidden="false" customHeight="true" outlineLevel="0" collapsed="false">
      <c r="B25" s="28" t="s">
        <v>108</v>
      </c>
      <c r="C25" s="28"/>
      <c r="D25" s="28"/>
      <c r="E25" s="28"/>
      <c r="F25" s="28"/>
    </row>
    <row r="26" customFormat="false" ht="24" hidden="false" customHeight="true" outlineLevel="0" collapsed="false">
      <c r="B26" s="20" t="s">
        <v>109</v>
      </c>
      <c r="C26" s="29" t="s">
        <v>110</v>
      </c>
      <c r="D26" s="30" t="s">
        <v>111</v>
      </c>
      <c r="E26" s="31"/>
      <c r="F26" s="32"/>
    </row>
    <row r="27" customFormat="false" ht="24" hidden="false" customHeight="true" outlineLevel="0" collapsed="false">
      <c r="B27" s="20" t="s">
        <v>112</v>
      </c>
      <c r="C27" s="29" t="s">
        <v>74</v>
      </c>
      <c r="D27" s="30" t="s">
        <v>113</v>
      </c>
      <c r="E27" s="31"/>
      <c r="F27" s="32"/>
    </row>
    <row r="28" customFormat="false" ht="19.5" hidden="false" customHeight="true" outlineLevel="0" collapsed="false">
      <c r="B28" s="28" t="s">
        <v>114</v>
      </c>
      <c r="C28" s="28"/>
      <c r="D28" s="28"/>
      <c r="E28" s="28"/>
      <c r="F28" s="28"/>
    </row>
    <row r="29" customFormat="false" ht="24" hidden="false" customHeight="true" outlineLevel="0" collapsed="false">
      <c r="B29" s="20" t="s">
        <v>115</v>
      </c>
      <c r="C29" s="29" t="s">
        <v>74</v>
      </c>
      <c r="D29" s="30" t="s">
        <v>116</v>
      </c>
      <c r="E29" s="31"/>
      <c r="F29" s="32"/>
    </row>
    <row r="30" customFormat="false" ht="24" hidden="false" customHeight="true" outlineLevel="0" collapsed="false">
      <c r="B30" s="20" t="s">
        <v>117</v>
      </c>
      <c r="C30" s="29" t="s">
        <v>118</v>
      </c>
      <c r="D30" s="30" t="s">
        <v>119</v>
      </c>
      <c r="E30" s="31"/>
      <c r="F30" s="32"/>
    </row>
    <row r="31" customFormat="false" ht="24" hidden="false" customHeight="true" outlineLevel="0" collapsed="false">
      <c r="B31" s="20" t="s">
        <v>120</v>
      </c>
      <c r="C31" s="29" t="s">
        <v>121</v>
      </c>
      <c r="D31" s="30" t="s">
        <v>116</v>
      </c>
      <c r="E31" s="31"/>
      <c r="F31" s="32"/>
    </row>
    <row r="32" customFormat="false" ht="19.5" hidden="false" customHeight="true" outlineLevel="0" collapsed="false">
      <c r="B32" s="28" t="s">
        <v>122</v>
      </c>
      <c r="C32" s="28"/>
      <c r="D32" s="28"/>
      <c r="E32" s="28"/>
      <c r="F32" s="28"/>
    </row>
    <row r="33" customFormat="false" ht="24" hidden="false" customHeight="true" outlineLevel="0" collapsed="false">
      <c r="B33" s="20" t="s">
        <v>123</v>
      </c>
      <c r="C33" s="29" t="s">
        <v>124</v>
      </c>
      <c r="D33" s="30" t="s">
        <v>125</v>
      </c>
      <c r="E33" s="31"/>
      <c r="F33" s="32"/>
    </row>
    <row r="34" customFormat="false" ht="24" hidden="false" customHeight="true" outlineLevel="0" collapsed="false">
      <c r="B34" s="20" t="s">
        <v>126</v>
      </c>
      <c r="C34" s="29" t="s">
        <v>127</v>
      </c>
      <c r="D34" s="30" t="s">
        <v>125</v>
      </c>
      <c r="E34" s="31"/>
      <c r="F34" s="32"/>
    </row>
    <row r="35" customFormat="false" ht="24" hidden="false" customHeight="true" outlineLevel="0" collapsed="false">
      <c r="B35" s="20" t="s">
        <v>128</v>
      </c>
      <c r="C35" s="29" t="s">
        <v>129</v>
      </c>
      <c r="D35" s="30" t="s">
        <v>125</v>
      </c>
      <c r="E35" s="31"/>
      <c r="F35" s="32"/>
    </row>
    <row r="36" customFormat="false" ht="19.5" hidden="false" customHeight="true" outlineLevel="0" collapsed="false">
      <c r="B36" s="28" t="s">
        <v>130</v>
      </c>
      <c r="C36" s="28"/>
      <c r="D36" s="28"/>
      <c r="E36" s="28"/>
      <c r="F36" s="28"/>
    </row>
    <row r="37" customFormat="false" ht="24" hidden="false" customHeight="true" outlineLevel="0" collapsed="false">
      <c r="B37" s="20" t="s">
        <v>131</v>
      </c>
      <c r="C37" s="29" t="s">
        <v>74</v>
      </c>
      <c r="D37" s="30" t="s">
        <v>132</v>
      </c>
      <c r="E37" s="31"/>
      <c r="F37" s="32"/>
    </row>
    <row r="38" customFormat="false" ht="24" hidden="false" customHeight="true" outlineLevel="0" collapsed="false">
      <c r="B38" s="20" t="s">
        <v>133</v>
      </c>
      <c r="C38" s="29" t="s">
        <v>134</v>
      </c>
      <c r="D38" s="30" t="s">
        <v>135</v>
      </c>
      <c r="E38" s="31"/>
      <c r="F38" s="32"/>
    </row>
    <row r="39" customFormat="false" ht="19.5" hidden="false" customHeight="true" outlineLevel="0" collapsed="false">
      <c r="B39" s="28" t="s">
        <v>136</v>
      </c>
      <c r="C39" s="28"/>
      <c r="D39" s="28"/>
      <c r="E39" s="28"/>
      <c r="F39" s="28"/>
    </row>
    <row r="40" customFormat="false" ht="24" hidden="false" customHeight="true" outlineLevel="0" collapsed="false">
      <c r="B40" s="20" t="s">
        <v>137</v>
      </c>
      <c r="C40" s="29" t="s">
        <v>138</v>
      </c>
      <c r="D40" s="30" t="s">
        <v>139</v>
      </c>
      <c r="E40" s="31"/>
      <c r="F40" s="32"/>
    </row>
    <row r="41" customFormat="false" ht="24" hidden="false" customHeight="true" outlineLevel="0" collapsed="false">
      <c r="B41" s="20" t="s">
        <v>140</v>
      </c>
      <c r="C41" s="29" t="s">
        <v>141</v>
      </c>
      <c r="D41" s="30" t="s">
        <v>142</v>
      </c>
      <c r="E41" s="31"/>
      <c r="F41" s="32"/>
    </row>
    <row r="42" customFormat="false" ht="24" hidden="false" customHeight="true" outlineLevel="0" collapsed="false">
      <c r="B42" s="20" t="s">
        <v>143</v>
      </c>
      <c r="C42" s="29" t="s">
        <v>144</v>
      </c>
      <c r="D42" s="30" t="s">
        <v>96</v>
      </c>
      <c r="E42" s="31"/>
      <c r="F42" s="32"/>
    </row>
    <row r="43" customFormat="false" ht="19.5" hidden="false" customHeight="true" outlineLevel="0" collapsed="false">
      <c r="B43" s="28" t="s">
        <v>145</v>
      </c>
      <c r="C43" s="28"/>
      <c r="D43" s="28"/>
      <c r="E43" s="28"/>
      <c r="F43" s="28"/>
    </row>
    <row r="44" customFormat="false" ht="24" hidden="false" customHeight="true" outlineLevel="0" collapsed="false">
      <c r="B44" s="20" t="s">
        <v>146</v>
      </c>
      <c r="C44" s="29" t="s">
        <v>147</v>
      </c>
      <c r="D44" s="30" t="s">
        <v>148</v>
      </c>
      <c r="E44" s="31"/>
      <c r="F44" s="32"/>
    </row>
    <row r="45" customFormat="false" ht="24" hidden="false" customHeight="true" outlineLevel="0" collapsed="false">
      <c r="B45" s="20" t="s">
        <v>149</v>
      </c>
      <c r="C45" s="29" t="s">
        <v>150</v>
      </c>
      <c r="D45" s="30" t="s">
        <v>151</v>
      </c>
      <c r="E45" s="31"/>
      <c r="F45" s="32"/>
    </row>
    <row r="47" customFormat="false" ht="15" hidden="false" customHeight="false" outlineLevel="0" collapsed="false">
      <c r="B47" s="33" t="s">
        <v>152</v>
      </c>
    </row>
    <row r="48" customFormat="false" ht="15" hidden="false" customHeight="false" outlineLevel="0" collapsed="false">
      <c r="B48" s="34" t="s">
        <v>65</v>
      </c>
      <c r="C48" s="35" t="n">
        <f aca="false">COUNTIF(E6:E46,"Met")</f>
        <v>1</v>
      </c>
    </row>
    <row r="49" customFormat="false" ht="15" hidden="false" customHeight="false" outlineLevel="0" collapsed="false">
      <c r="B49" s="36" t="s">
        <v>153</v>
      </c>
      <c r="C49" s="35" t="n">
        <f aca="false">COUNTIF(E6:E47,"Partially met")</f>
        <v>0</v>
      </c>
    </row>
    <row r="50" customFormat="false" ht="15" hidden="false" customHeight="false" outlineLevel="0" collapsed="false">
      <c r="B50" s="37" t="s">
        <v>154</v>
      </c>
      <c r="C50" s="35" t="n">
        <f aca="false">COUNTIF(E6:E48,"Not met")</f>
        <v>0</v>
      </c>
    </row>
    <row r="51" customFormat="false" ht="15" hidden="false" customHeight="false" outlineLevel="0" collapsed="false">
      <c r="B51" s="38" t="s">
        <v>155</v>
      </c>
      <c r="C51" s="35" t="n">
        <f aca="false">COUNTIF(E6:E49,"N/A")</f>
        <v>0</v>
      </c>
    </row>
  </sheetData>
  <mergeCells count="11">
    <mergeCell ref="A2:F2"/>
    <mergeCell ref="B6:F6"/>
    <mergeCell ref="B10:F10"/>
    <mergeCell ref="B15:F15"/>
    <mergeCell ref="B21:F21"/>
    <mergeCell ref="B25:F25"/>
    <mergeCell ref="B28:F28"/>
    <mergeCell ref="B32:F32"/>
    <mergeCell ref="B36:F36"/>
    <mergeCell ref="B39:F39"/>
    <mergeCell ref="B43:F43"/>
  </mergeCells>
  <dataValidations count="1">
    <dataValidation allowBlank="true" errorStyle="stop" operator="between" showDropDown="false" showErrorMessage="false" showInputMessage="false" sqref="E7:E9 E11:E14 E16:E20 E22:E24 E26:E27 E29:E31 E33:E35 E37:E38 E40:E42 E44:E45" type="list">
      <formula1>"Met,Partially met,Not met,N/A"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8" min="7" style="0" width="9"/>
    <col collapsed="false" customWidth="true" hidden="false" outlineLevel="0" max="9" min="9" style="0" width="11"/>
    <col collapsed="false" customWidth="true" hidden="false" outlineLevel="0" max="10" min="10" style="0" width="34"/>
    <col collapsed="false" customWidth="true" hidden="false" outlineLevel="0" max="12" min="11" style="0" width="13"/>
  </cols>
  <sheetData>
    <row r="2" customFormat="false" ht="30" hidden="false" customHeight="true" outlineLevel="0" collapsed="false">
      <c r="A2" s="13" t="s">
        <v>156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customFormat="false" ht="191.75" hidden="false" customHeight="false" outlineLevel="0" collapsed="false">
      <c r="B3" s="14" t="s">
        <v>157</v>
      </c>
    </row>
    <row r="5" customFormat="false" ht="30" hidden="false" customHeight="true" outlineLevel="0" collapsed="false">
      <c r="B5" s="19" t="s">
        <v>158</v>
      </c>
      <c r="C5" s="19" t="s">
        <v>159</v>
      </c>
      <c r="D5" s="19" t="s">
        <v>160</v>
      </c>
      <c r="E5" s="19" t="s">
        <v>161</v>
      </c>
      <c r="F5" s="19" t="s">
        <v>162</v>
      </c>
      <c r="G5" s="19" t="s">
        <v>163</v>
      </c>
      <c r="H5" s="19" t="s">
        <v>164</v>
      </c>
      <c r="I5" s="19" t="s">
        <v>165</v>
      </c>
      <c r="J5" s="19" t="s">
        <v>166</v>
      </c>
      <c r="K5" s="19" t="s">
        <v>167</v>
      </c>
      <c r="L5" s="19" t="s">
        <v>168</v>
      </c>
    </row>
    <row r="6" customFormat="false" ht="30" hidden="false" customHeight="true" outlineLevel="0" collapsed="false">
      <c r="B6" s="39" t="s">
        <v>169</v>
      </c>
      <c r="C6" s="32" t="s">
        <v>170</v>
      </c>
      <c r="D6" s="32" t="s">
        <v>171</v>
      </c>
      <c r="E6" s="32" t="s">
        <v>172</v>
      </c>
      <c r="F6" s="39" t="n">
        <v>4</v>
      </c>
      <c r="G6" s="39" t="n">
        <v>5</v>
      </c>
      <c r="H6" s="40" t="n">
        <f aca="false">IF(OR(F6="",G6=""),"",F6*G6)</f>
        <v>20</v>
      </c>
      <c r="I6" s="41" t="str">
        <f aca="false">IF(H6="","",IF(H6&gt;=15,"Critical",IF(H6&gt;=10,"High",IF(H6&gt;=5,"Medium","Low"))))</f>
        <v>Critical</v>
      </c>
      <c r="J6" s="32" t="s">
        <v>173</v>
      </c>
      <c r="K6" s="39" t="s">
        <v>174</v>
      </c>
      <c r="L6" s="39" t="s">
        <v>175</v>
      </c>
    </row>
    <row r="7" customFormat="false" ht="30" hidden="false" customHeight="true" outlineLevel="0" collapsed="false">
      <c r="B7" s="39"/>
      <c r="C7" s="32"/>
      <c r="D7" s="32"/>
      <c r="E7" s="32"/>
      <c r="F7" s="39"/>
      <c r="G7" s="39"/>
      <c r="H7" s="40" t="str">
        <f aca="false">IF(OR(F7="",G7=""),"",F7*G7)</f>
        <v/>
      </c>
      <c r="I7" s="41" t="str">
        <f aca="false">IF(H7="","",IF(H7&gt;=15,"Critical",IF(H7&gt;=10,"High",IF(H7&gt;=5,"Medium","Low"))))</f>
        <v/>
      </c>
      <c r="J7" s="32"/>
      <c r="K7" s="39"/>
      <c r="L7" s="39"/>
    </row>
    <row r="8" customFormat="false" ht="30" hidden="false" customHeight="true" outlineLevel="0" collapsed="false">
      <c r="B8" s="39"/>
      <c r="C8" s="32"/>
      <c r="D8" s="32"/>
      <c r="E8" s="32"/>
      <c r="F8" s="39"/>
      <c r="G8" s="39"/>
      <c r="H8" s="40" t="str">
        <f aca="false">IF(OR(F8="",G8=""),"",F8*G8)</f>
        <v/>
      </c>
      <c r="I8" s="41" t="str">
        <f aca="false">IF(H8="","",IF(H8&gt;=15,"Critical",IF(H8&gt;=10,"High",IF(H8&gt;=5,"Medium","Low"))))</f>
        <v/>
      </c>
      <c r="J8" s="32"/>
      <c r="K8" s="39"/>
      <c r="L8" s="39"/>
    </row>
    <row r="9" customFormat="false" ht="30" hidden="false" customHeight="true" outlineLevel="0" collapsed="false">
      <c r="B9" s="39"/>
      <c r="C9" s="32"/>
      <c r="D9" s="32"/>
      <c r="E9" s="32"/>
      <c r="F9" s="39"/>
      <c r="G9" s="39"/>
      <c r="H9" s="40" t="str">
        <f aca="false">IF(OR(F9="",G9=""),"",F9*G9)</f>
        <v/>
      </c>
      <c r="I9" s="41" t="str">
        <f aca="false">IF(H9="","",IF(H9&gt;=15,"Critical",IF(H9&gt;=10,"High",IF(H9&gt;=5,"Medium","Low"))))</f>
        <v/>
      </c>
      <c r="J9" s="32"/>
      <c r="K9" s="39"/>
      <c r="L9" s="39"/>
    </row>
    <row r="10" customFormat="false" ht="30" hidden="false" customHeight="true" outlineLevel="0" collapsed="false">
      <c r="B10" s="39"/>
      <c r="C10" s="32"/>
      <c r="D10" s="32"/>
      <c r="E10" s="32"/>
      <c r="F10" s="39"/>
      <c r="G10" s="39"/>
      <c r="H10" s="40" t="str">
        <f aca="false">IF(OR(F10="",G10=""),"",F10*G10)</f>
        <v/>
      </c>
      <c r="I10" s="41" t="str">
        <f aca="false">IF(H10="","",IF(H10&gt;=15,"Critical",IF(H10&gt;=10,"High",IF(H10&gt;=5,"Medium","Low"))))</f>
        <v/>
      </c>
      <c r="J10" s="32"/>
      <c r="K10" s="39"/>
      <c r="L10" s="39"/>
    </row>
    <row r="11" customFormat="false" ht="30" hidden="false" customHeight="true" outlineLevel="0" collapsed="false">
      <c r="B11" s="39"/>
      <c r="C11" s="32"/>
      <c r="D11" s="32"/>
      <c r="E11" s="32"/>
      <c r="F11" s="39"/>
      <c r="G11" s="39"/>
      <c r="H11" s="40" t="str">
        <f aca="false">IF(OR(F11="",G11=""),"",F11*G11)</f>
        <v/>
      </c>
      <c r="I11" s="41" t="str">
        <f aca="false">IF(H11="","",IF(H11&gt;=15,"Critical",IF(H11&gt;=10,"High",IF(H11&gt;=5,"Medium","Low"))))</f>
        <v/>
      </c>
      <c r="J11" s="32"/>
      <c r="K11" s="39"/>
      <c r="L11" s="39"/>
    </row>
    <row r="12" customFormat="false" ht="30" hidden="false" customHeight="true" outlineLevel="0" collapsed="false">
      <c r="B12" s="39"/>
      <c r="C12" s="32"/>
      <c r="D12" s="32"/>
      <c r="E12" s="32"/>
      <c r="F12" s="39"/>
      <c r="G12" s="39"/>
      <c r="H12" s="40" t="str">
        <f aca="false">IF(OR(F12="",G12=""),"",F12*G12)</f>
        <v/>
      </c>
      <c r="I12" s="41" t="str">
        <f aca="false">IF(H12="","",IF(H12&gt;=15,"Critical",IF(H12&gt;=10,"High",IF(H12&gt;=5,"Medium","Low"))))</f>
        <v/>
      </c>
      <c r="J12" s="32"/>
      <c r="K12" s="39"/>
      <c r="L12" s="39"/>
    </row>
    <row r="13" customFormat="false" ht="30" hidden="false" customHeight="true" outlineLevel="0" collapsed="false">
      <c r="B13" s="39"/>
      <c r="C13" s="32"/>
      <c r="D13" s="32"/>
      <c r="E13" s="32"/>
      <c r="F13" s="39"/>
      <c r="G13" s="39"/>
      <c r="H13" s="40" t="str">
        <f aca="false">IF(OR(F13="",G13=""),"",F13*G13)</f>
        <v/>
      </c>
      <c r="I13" s="41" t="str">
        <f aca="false">IF(H13="","",IF(H13&gt;=15,"Critical",IF(H13&gt;=10,"High",IF(H13&gt;=5,"Medium","Low"))))</f>
        <v/>
      </c>
      <c r="J13" s="32"/>
      <c r="K13" s="39"/>
      <c r="L13" s="39"/>
    </row>
    <row r="14" customFormat="false" ht="30" hidden="false" customHeight="true" outlineLevel="0" collapsed="false">
      <c r="B14" s="39"/>
      <c r="C14" s="32"/>
      <c r="D14" s="32"/>
      <c r="E14" s="32"/>
      <c r="F14" s="39"/>
      <c r="G14" s="39"/>
      <c r="H14" s="40" t="str">
        <f aca="false">IF(OR(F14="",G14=""),"",F14*G14)</f>
        <v/>
      </c>
      <c r="I14" s="41" t="str">
        <f aca="false">IF(H14="","",IF(H14&gt;=15,"Critical",IF(H14&gt;=10,"High",IF(H14&gt;=5,"Medium","Low"))))</f>
        <v/>
      </c>
      <c r="J14" s="32"/>
      <c r="K14" s="39"/>
      <c r="L14" s="39"/>
    </row>
    <row r="15" customFormat="false" ht="30" hidden="false" customHeight="true" outlineLevel="0" collapsed="false">
      <c r="B15" s="39"/>
      <c r="C15" s="32"/>
      <c r="D15" s="32"/>
      <c r="E15" s="32"/>
      <c r="F15" s="39"/>
      <c r="G15" s="39"/>
      <c r="H15" s="40" t="str">
        <f aca="false">IF(OR(F15="",G15=""),"",F15*G15)</f>
        <v/>
      </c>
      <c r="I15" s="41" t="str">
        <f aca="false">IF(H15="","",IF(H15&gt;=15,"Critical",IF(H15&gt;=10,"High",IF(H15&gt;=5,"Medium","Low"))))</f>
        <v/>
      </c>
      <c r="J15" s="32"/>
      <c r="K15" s="39"/>
      <c r="L15" s="39"/>
    </row>
    <row r="16" customFormat="false" ht="30" hidden="false" customHeight="true" outlineLevel="0" collapsed="false">
      <c r="B16" s="39"/>
      <c r="C16" s="32"/>
      <c r="D16" s="32"/>
      <c r="E16" s="32"/>
      <c r="F16" s="39"/>
      <c r="G16" s="39"/>
      <c r="H16" s="40" t="str">
        <f aca="false">IF(OR(F16="",G16=""),"",F16*G16)</f>
        <v/>
      </c>
      <c r="I16" s="41" t="str">
        <f aca="false">IF(H16="","",IF(H16&gt;=15,"Critical",IF(H16&gt;=10,"High",IF(H16&gt;=5,"Medium","Low"))))</f>
        <v/>
      </c>
      <c r="J16" s="32"/>
      <c r="K16" s="39"/>
      <c r="L16" s="39"/>
    </row>
    <row r="17" customFormat="false" ht="30" hidden="false" customHeight="true" outlineLevel="0" collapsed="false">
      <c r="B17" s="39"/>
      <c r="C17" s="32"/>
      <c r="D17" s="32"/>
      <c r="E17" s="32"/>
      <c r="F17" s="39"/>
      <c r="G17" s="39"/>
      <c r="H17" s="40" t="str">
        <f aca="false">IF(OR(F17="",G17=""),"",F17*G17)</f>
        <v/>
      </c>
      <c r="I17" s="41" t="str">
        <f aca="false">IF(H17="","",IF(H17&gt;=15,"Critical",IF(H17&gt;=10,"High",IF(H17&gt;=5,"Medium","Low"))))</f>
        <v/>
      </c>
      <c r="J17" s="32"/>
      <c r="K17" s="39"/>
      <c r="L17" s="39"/>
    </row>
    <row r="18" customFormat="false" ht="30" hidden="false" customHeight="true" outlineLevel="0" collapsed="false">
      <c r="B18" s="39"/>
      <c r="C18" s="32"/>
      <c r="D18" s="32"/>
      <c r="E18" s="32"/>
      <c r="F18" s="39"/>
      <c r="G18" s="39"/>
      <c r="H18" s="40" t="str">
        <f aca="false">IF(OR(F18="",G18=""),"",F18*G18)</f>
        <v/>
      </c>
      <c r="I18" s="41" t="str">
        <f aca="false">IF(H18="","",IF(H18&gt;=15,"Critical",IF(H18&gt;=10,"High",IF(H18&gt;=5,"Medium","Low"))))</f>
        <v/>
      </c>
      <c r="J18" s="32"/>
      <c r="K18" s="39"/>
      <c r="L18" s="39"/>
    </row>
    <row r="19" customFormat="false" ht="30" hidden="false" customHeight="true" outlineLevel="0" collapsed="false">
      <c r="B19" s="39"/>
      <c r="C19" s="32"/>
      <c r="D19" s="32"/>
      <c r="E19" s="32"/>
      <c r="F19" s="39"/>
      <c r="G19" s="39"/>
      <c r="H19" s="40" t="str">
        <f aca="false">IF(OR(F19="",G19=""),"",F19*G19)</f>
        <v/>
      </c>
      <c r="I19" s="41" t="str">
        <f aca="false">IF(H19="","",IF(H19&gt;=15,"Critical",IF(H19&gt;=10,"High",IF(H19&gt;=5,"Medium","Low"))))</f>
        <v/>
      </c>
      <c r="J19" s="32"/>
      <c r="K19" s="39"/>
      <c r="L19" s="39"/>
    </row>
    <row r="20" customFormat="false" ht="30" hidden="false" customHeight="true" outlineLevel="0" collapsed="false">
      <c r="B20" s="39"/>
      <c r="C20" s="32"/>
      <c r="D20" s="32"/>
      <c r="E20" s="32"/>
      <c r="F20" s="39"/>
      <c r="G20" s="39"/>
      <c r="H20" s="40" t="str">
        <f aca="false">IF(OR(F20="",G20=""),"",F20*G20)</f>
        <v/>
      </c>
      <c r="I20" s="41" t="str">
        <f aca="false">IF(H20="","",IF(H20&gt;=15,"Critical",IF(H20&gt;=10,"High",IF(H20&gt;=5,"Medium","Low"))))</f>
        <v/>
      </c>
      <c r="J20" s="32"/>
      <c r="K20" s="39"/>
      <c r="L20" s="39"/>
    </row>
    <row r="21" customFormat="false" ht="30" hidden="false" customHeight="true" outlineLevel="0" collapsed="false">
      <c r="B21" s="39"/>
      <c r="C21" s="32"/>
      <c r="D21" s="32"/>
      <c r="E21" s="32"/>
      <c r="F21" s="39"/>
      <c r="G21" s="39"/>
      <c r="H21" s="40" t="str">
        <f aca="false">IF(OR(F21="",G21=""),"",F21*G21)</f>
        <v/>
      </c>
      <c r="I21" s="41" t="str">
        <f aca="false">IF(H21="","",IF(H21&gt;=15,"Critical",IF(H21&gt;=10,"High",IF(H21&gt;=5,"Medium","Low"))))</f>
        <v/>
      </c>
      <c r="J21" s="32"/>
      <c r="K21" s="39"/>
      <c r="L21" s="39"/>
    </row>
    <row r="22" customFormat="false" ht="30" hidden="false" customHeight="true" outlineLevel="0" collapsed="false">
      <c r="B22" s="39"/>
      <c r="C22" s="32"/>
      <c r="D22" s="32"/>
      <c r="E22" s="32"/>
      <c r="F22" s="39"/>
      <c r="G22" s="39"/>
      <c r="H22" s="40" t="str">
        <f aca="false">IF(OR(F22="",G22=""),"",F22*G22)</f>
        <v/>
      </c>
      <c r="I22" s="41" t="str">
        <f aca="false">IF(H22="","",IF(H22&gt;=15,"Critical",IF(H22&gt;=10,"High",IF(H22&gt;=5,"Medium","Low"))))</f>
        <v/>
      </c>
      <c r="J22" s="32"/>
      <c r="K22" s="39"/>
      <c r="L22" s="39"/>
    </row>
    <row r="23" customFormat="false" ht="30" hidden="false" customHeight="true" outlineLevel="0" collapsed="false">
      <c r="B23" s="39"/>
      <c r="C23" s="32"/>
      <c r="D23" s="32"/>
      <c r="E23" s="32"/>
      <c r="F23" s="39"/>
      <c r="G23" s="39"/>
      <c r="H23" s="40" t="str">
        <f aca="false">IF(OR(F23="",G23=""),"",F23*G23)</f>
        <v/>
      </c>
      <c r="I23" s="41" t="str">
        <f aca="false">IF(H23="","",IF(H23&gt;=15,"Critical",IF(H23&gt;=10,"High",IF(H23&gt;=5,"Medium","Low"))))</f>
        <v/>
      </c>
      <c r="J23" s="32"/>
      <c r="K23" s="39"/>
      <c r="L23" s="39"/>
    </row>
    <row r="24" customFormat="false" ht="30" hidden="false" customHeight="true" outlineLevel="0" collapsed="false">
      <c r="B24" s="39"/>
      <c r="C24" s="32"/>
      <c r="D24" s="32"/>
      <c r="E24" s="32"/>
      <c r="F24" s="39"/>
      <c r="G24" s="39"/>
      <c r="H24" s="40" t="str">
        <f aca="false">IF(OR(F24="",G24=""),"",F24*G24)</f>
        <v/>
      </c>
      <c r="I24" s="41" t="str">
        <f aca="false">IF(H24="","",IF(H24&gt;=15,"Critical",IF(H24&gt;=10,"High",IF(H24&gt;=5,"Medium","Low"))))</f>
        <v/>
      </c>
      <c r="J24" s="32"/>
      <c r="K24" s="39"/>
      <c r="L24" s="39"/>
    </row>
    <row r="25" customFormat="false" ht="30" hidden="false" customHeight="true" outlineLevel="0" collapsed="false">
      <c r="B25" s="39"/>
      <c r="C25" s="32"/>
      <c r="D25" s="32"/>
      <c r="E25" s="32"/>
      <c r="F25" s="39"/>
      <c r="G25" s="39"/>
      <c r="H25" s="40" t="str">
        <f aca="false">IF(OR(F25="",G25=""),"",F25*G25)</f>
        <v/>
      </c>
      <c r="I25" s="41" t="str">
        <f aca="false">IF(H25="","",IF(H25&gt;=15,"Critical",IF(H25&gt;=10,"High",IF(H25&gt;=5,"Medium","Low"))))</f>
        <v/>
      </c>
      <c r="J25" s="32"/>
      <c r="K25" s="39"/>
      <c r="L25" s="39"/>
    </row>
  </sheetData>
  <mergeCells count="1">
    <mergeCell ref="A2:K2"/>
  </mergeCells>
  <conditionalFormatting sqref="I6:I25">
    <cfRule type="cellIs" priority="2" operator="equal" aboveAverage="0" equalAverage="0" bottom="0" percent="0" rank="0" text="" dxfId="4">
      <formula>"Critical"</formula>
    </cfRule>
    <cfRule type="cellIs" priority="3" operator="equal" aboveAverage="0" equalAverage="0" bottom="0" percent="0" rank="0" text="" dxfId="5">
      <formula>"High"</formula>
    </cfRule>
    <cfRule type="cellIs" priority="4" operator="equal" aboveAverage="0" equalAverage="0" bottom="0" percent="0" rank="0" text="" dxfId="6">
      <formula>"Medium"</formula>
    </cfRule>
    <cfRule type="cellIs" priority="5" operator="equal" aboveAverage="0" equalAverage="0" bottom="0" percent="0" rank="0" text="" dxfId="7">
      <formula>"Low"</formula>
    </cfRule>
  </conditionalFormatting>
  <dataValidations count="2">
    <dataValidation allowBlank="true" errorStyle="stop" operator="between" showDropDown="false" showErrorMessage="false" showInputMessage="false" sqref="L6:L25" type="list">
      <formula1>"Open,In progress,Remediated,Accepted,Closed"</formula1>
      <formula2>0</formula2>
    </dataValidation>
    <dataValidation allowBlank="true" errorStyle="stop" operator="between" showDropDown="false" showErrorMessage="false" showInputMessage="false" sqref="E6:E25" type="list">
      <formula1>"Vendor,Bank,Vendor + Bank"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7" min="3" style="0" width="14"/>
  </cols>
  <sheetData>
    <row r="2" customFormat="false" ht="30" hidden="false" customHeight="true" outlineLevel="0" collapsed="false">
      <c r="A2" s="13" t="s">
        <v>176</v>
      </c>
      <c r="B2" s="13"/>
      <c r="C2" s="13"/>
      <c r="D2" s="13"/>
      <c r="E2" s="13"/>
      <c r="F2" s="13"/>
      <c r="G2" s="13"/>
    </row>
    <row r="5" customFormat="false" ht="15" hidden="false" customHeight="false" outlineLevel="0" collapsed="false">
      <c r="B5" s="42" t="s">
        <v>177</v>
      </c>
      <c r="C5" s="42" t="s">
        <v>178</v>
      </c>
      <c r="D5" s="42" t="s">
        <v>179</v>
      </c>
      <c r="E5" s="42" t="s">
        <v>180</v>
      </c>
      <c r="F5" s="42" t="s">
        <v>181</v>
      </c>
      <c r="G5" s="42" t="s">
        <v>182</v>
      </c>
    </row>
    <row r="6" customFormat="false" ht="25.5" hidden="false" customHeight="true" outlineLevel="0" collapsed="false">
      <c r="B6" s="42" t="s">
        <v>183</v>
      </c>
      <c r="C6" s="43" t="n">
        <v>5</v>
      </c>
      <c r="D6" s="44" t="n">
        <v>10</v>
      </c>
      <c r="E6" s="45" t="n">
        <v>15</v>
      </c>
      <c r="F6" s="45" t="n">
        <v>20</v>
      </c>
      <c r="G6" s="45" t="n">
        <v>25</v>
      </c>
    </row>
    <row r="7" customFormat="false" ht="25.5" hidden="false" customHeight="true" outlineLevel="0" collapsed="false">
      <c r="B7" s="42" t="s">
        <v>184</v>
      </c>
      <c r="C7" s="46" t="n">
        <v>4</v>
      </c>
      <c r="D7" s="43" t="n">
        <v>8</v>
      </c>
      <c r="E7" s="44" t="n">
        <v>12</v>
      </c>
      <c r="F7" s="45" t="n">
        <v>16</v>
      </c>
      <c r="G7" s="45" t="n">
        <v>20</v>
      </c>
    </row>
    <row r="8" customFormat="false" ht="25.5" hidden="false" customHeight="true" outlineLevel="0" collapsed="false">
      <c r="B8" s="42" t="s">
        <v>185</v>
      </c>
      <c r="C8" s="46" t="n">
        <v>3</v>
      </c>
      <c r="D8" s="43" t="n">
        <v>6</v>
      </c>
      <c r="E8" s="43" t="n">
        <v>9</v>
      </c>
      <c r="F8" s="44" t="n">
        <v>12</v>
      </c>
      <c r="G8" s="45" t="n">
        <v>15</v>
      </c>
    </row>
    <row r="9" customFormat="false" ht="25.5" hidden="false" customHeight="true" outlineLevel="0" collapsed="false">
      <c r="B9" s="42" t="s">
        <v>186</v>
      </c>
      <c r="C9" s="46" t="n">
        <v>2</v>
      </c>
      <c r="D9" s="46" t="n">
        <v>4</v>
      </c>
      <c r="E9" s="43" t="n">
        <v>6</v>
      </c>
      <c r="F9" s="43" t="n">
        <v>8</v>
      </c>
      <c r="G9" s="44" t="n">
        <v>10</v>
      </c>
    </row>
    <row r="10" customFormat="false" ht="25.5" hidden="false" customHeight="true" outlineLevel="0" collapsed="false">
      <c r="B10" s="42" t="s">
        <v>187</v>
      </c>
      <c r="C10" s="46" t="n">
        <v>1</v>
      </c>
      <c r="D10" s="46" t="n">
        <v>2</v>
      </c>
      <c r="E10" s="46" t="n">
        <v>3</v>
      </c>
      <c r="F10" s="46" t="n">
        <v>4</v>
      </c>
      <c r="G10" s="43" t="n">
        <v>5</v>
      </c>
    </row>
    <row r="13" customFormat="false" ht="15" hidden="false" customHeight="false" outlineLevel="0" collapsed="false">
      <c r="B13" s="33" t="s">
        <v>188</v>
      </c>
    </row>
    <row r="14" customFormat="false" ht="19.5" hidden="false" customHeight="true" outlineLevel="0" collapsed="false">
      <c r="B14" s="12" t="s">
        <v>189</v>
      </c>
    </row>
    <row r="15" customFormat="false" ht="19.5" hidden="false" customHeight="true" outlineLevel="0" collapsed="false">
      <c r="B15" s="11" t="s">
        <v>190</v>
      </c>
    </row>
    <row r="16" customFormat="false" ht="19.5" hidden="false" customHeight="true" outlineLevel="0" collapsed="false">
      <c r="B16" s="10" t="s">
        <v>191</v>
      </c>
    </row>
    <row r="17" customFormat="false" ht="19.5" hidden="false" customHeight="true" outlineLevel="0" collapsed="false">
      <c r="B17" s="9" t="s">
        <v>192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62"/>
  </cols>
  <sheetData>
    <row r="2" customFormat="false" ht="30" hidden="false" customHeight="true" outlineLevel="0" collapsed="false">
      <c r="A2" s="13" t="s">
        <v>193</v>
      </c>
      <c r="B2" s="13"/>
      <c r="C2" s="13"/>
      <c r="D2" s="13"/>
    </row>
    <row r="3" customFormat="false" ht="23.85" hidden="false" customHeight="false" outlineLevel="0" collapsed="false">
      <c r="B3" s="14" t="s">
        <v>194</v>
      </c>
    </row>
    <row r="5" customFormat="false" ht="25.5" hidden="false" customHeight="true" outlineLevel="0" collapsed="false">
      <c r="B5" s="15" t="s">
        <v>195</v>
      </c>
      <c r="C5" s="47" t="str">
        <f aca="false">'2 · Tiering'!C12</f>
        <v>CRITICAL</v>
      </c>
    </row>
    <row r="6" customFormat="false" ht="25.5" hidden="false" customHeight="true" outlineLevel="0" collapsed="false">
      <c r="B6" s="15" t="s">
        <v>196</v>
      </c>
      <c r="C6" s="47" t="n">
        <f aca="false">COUNTIF('4 · Findings'!I6:I25,"Critical")</f>
        <v>1</v>
      </c>
    </row>
    <row r="7" customFormat="false" ht="25.5" hidden="false" customHeight="true" outlineLevel="0" collapsed="false">
      <c r="B7" s="15" t="s">
        <v>197</v>
      </c>
      <c r="C7" s="47" t="n">
        <f aca="false">COUNTIF('4 · Findings'!I6:I25,"High")</f>
        <v>0</v>
      </c>
    </row>
    <row r="8" customFormat="false" ht="25.5" hidden="false" customHeight="true" outlineLevel="0" collapsed="false">
      <c r="B8" s="15" t="s">
        <v>198</v>
      </c>
      <c r="C8" s="47" t="n">
        <f aca="false">COUNTIF('4 · Findings'!I6:I25,"Medium")</f>
        <v>0</v>
      </c>
    </row>
    <row r="9" customFormat="false" ht="25.5" hidden="false" customHeight="true" outlineLevel="0" collapsed="false">
      <c r="B9" s="15" t="s">
        <v>199</v>
      </c>
      <c r="C9" s="47" t="n">
        <f aca="false">COUNTIF('4 · Findings'!I6:I25,"Low")</f>
        <v>0</v>
      </c>
    </row>
    <row r="10" customFormat="false" ht="25.5" hidden="false" customHeight="true" outlineLevel="0" collapsed="false">
      <c r="B10" s="15" t="s">
        <v>200</v>
      </c>
      <c r="C10" s="16"/>
    </row>
    <row r="11" customFormat="false" ht="25.5" hidden="false" customHeight="true" outlineLevel="0" collapsed="false">
      <c r="B11" s="15" t="s">
        <v>201</v>
      </c>
      <c r="C11" s="16"/>
    </row>
    <row r="12" customFormat="false" ht="25.5" hidden="false" customHeight="true" outlineLevel="0" collapsed="false">
      <c r="B12" s="15" t="s">
        <v>166</v>
      </c>
      <c r="C12" s="16"/>
    </row>
    <row r="13" customFormat="false" ht="25.5" hidden="false" customHeight="true" outlineLevel="0" collapsed="false">
      <c r="B13" s="15" t="s">
        <v>202</v>
      </c>
      <c r="C13" s="16"/>
    </row>
    <row r="14" customFormat="false" ht="25.5" hidden="false" customHeight="true" outlineLevel="0" collapsed="false">
      <c r="B14" s="15" t="s">
        <v>203</v>
      </c>
      <c r="C14" s="16"/>
    </row>
    <row r="15" customFormat="false" ht="25.5" hidden="false" customHeight="true" outlineLevel="0" collapsed="false">
      <c r="B15" s="15" t="s">
        <v>204</v>
      </c>
      <c r="C15" s="16"/>
    </row>
    <row r="17" customFormat="false" ht="15" hidden="false" customHeight="false" outlineLevel="0" collapsed="false">
      <c r="B17" s="8" t="s">
        <v>205</v>
      </c>
    </row>
    <row r="18" customFormat="false" ht="23.85" hidden="false" customHeight="false" outlineLevel="0" collapsed="false">
      <c r="B18" s="48" t="s">
        <v>206</v>
      </c>
    </row>
    <row r="19" customFormat="false" ht="23.85" hidden="false" customHeight="false" outlineLevel="0" collapsed="false">
      <c r="B19" s="14" t="s">
        <v>207</v>
      </c>
    </row>
  </sheetData>
  <mergeCells count="1">
    <mergeCell ref="A2:D2"/>
  </mergeCells>
  <dataValidations count="2">
    <dataValidation allowBlank="true" errorStyle="stop" operator="between" showDropDown="false" showErrorMessage="false" showInputMessage="false" sqref="C12" type="list">
      <formula1>"Approve,Approve with conditions,Reject / do not proceed"</formula1>
      <formula2>0</formula2>
    </dataValidation>
    <dataValidation allowBlank="true" errorStyle="stop" operator="between" showDropDown="false" showErrorMessage="false" showInputMessage="false" sqref="C11" type="list">
      <formula1>"Yes,No,Only with conditions"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2026-07-11T11:47:44Z</dcterms:created>
  <dc:creator>openpyxl</dc:creator>
  <dc:description/>
  <dc:language>en-US</dc:language>
  <cp:lastModifiedBy/>
  <dcterms:modified xsi:type="dcterms:W3CDTF">2026-07-11T11:47:44Z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